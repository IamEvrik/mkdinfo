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Паспорта готовности\vbaproject\templates\"/>
    </mc:Choice>
  </mc:AlternateContent>
  <bookViews>
    <workbookView xWindow="-120" yWindow="-120" windowWidth="29040" windowHeight="15840"/>
  </bookViews>
  <sheets>
    <sheet name="план" sheetId="89" r:id="rId1"/>
  </sheet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89" l="1"/>
  <c r="D14" i="89" l="1"/>
  <c r="B2" i="89"/>
  <c r="D13" i="89" l="1"/>
</calcChain>
</file>

<file path=xl/sharedStrings.xml><?xml version="1.0" encoding="utf-8"?>
<sst xmlns="http://schemas.openxmlformats.org/spreadsheetml/2006/main" count="40" uniqueCount="29">
  <si>
    <t>Планировали:</t>
  </si>
  <si>
    <t>при 100% собираемости</t>
  </si>
  <si>
    <t>Подрядная организация выполняющая работы</t>
  </si>
  <si>
    <t>Авансовый платеж</t>
  </si>
  <si>
    <t>Срок выполнения работ:</t>
  </si>
  <si>
    <t>тыс.руб.</t>
  </si>
  <si>
    <t>нет</t>
  </si>
  <si>
    <t>&amp;Адрес&amp;</t>
  </si>
  <si>
    <t>&amp;Работа&amp;</t>
  </si>
  <si>
    <t>Фактический субсчет на &amp;СубсчетДата&amp; года</t>
  </si>
  <si>
    <t>&amp;СубсчетТекущий&amp;</t>
  </si>
  <si>
    <t>Плановое поступление до конца &amp;СубсчетГод&amp; г.:</t>
  </si>
  <si>
    <t>&amp;Поступления100&amp;</t>
  </si>
  <si>
    <t>&amp;ПоступленияСобираемость&amp;</t>
  </si>
  <si>
    <t>&amp;Подрядчик&amp;</t>
  </si>
  <si>
    <t>&amp;РаботаСрок&amp;</t>
  </si>
  <si>
    <t>&amp;РаботаОтветственный&amp;</t>
  </si>
  <si>
    <t>Плановый субсчет на &amp;СубсчетНовыйГод&amp; г.:</t>
  </si>
  <si>
    <t>Ответственный за выполнение работ:</t>
  </si>
  <si>
    <r>
      <t xml:space="preserve">Ориентировочный плановый субсчет </t>
    </r>
    <r>
      <rPr>
        <b/>
        <u/>
        <sz val="11"/>
        <color theme="1"/>
        <rFont val="Calibri"/>
        <family val="2"/>
        <charset val="204"/>
        <scheme val="minor"/>
      </rPr>
      <t>на &amp;СубсчетНовыйГод&amp; года</t>
    </r>
    <r>
      <rPr>
        <sz val="11"/>
        <color theme="1"/>
        <rFont val="Calibri"/>
        <family val="2"/>
        <charset val="204"/>
        <scheme val="minor"/>
      </rPr>
      <t xml:space="preserve"> с учетом собираемости &amp;ПоступленияПроцент&amp;% и выполненных работ</t>
    </r>
  </si>
  <si>
    <t>&amp;ОстатокСРаботой&amp;</t>
  </si>
  <si>
    <t>&amp;ПоступленияМесяцСобираемость&amp;</t>
  </si>
  <si>
    <t>Кол-во месяцев погашения долга</t>
  </si>
  <si>
    <t>мес.</t>
  </si>
  <si>
    <t>!!!</t>
  </si>
  <si>
    <r>
      <t xml:space="preserve">при </t>
    </r>
    <r>
      <rPr>
        <u/>
        <sz val="11"/>
        <color theme="1"/>
        <rFont val="Calibri"/>
        <family val="2"/>
        <charset val="204"/>
        <scheme val="minor"/>
      </rPr>
      <t>&amp;ПоступленияПроцент&amp;</t>
    </r>
    <r>
      <rPr>
        <sz val="11"/>
        <color theme="1"/>
        <rFont val="Calibri"/>
        <family val="2"/>
        <charset val="204"/>
        <scheme val="minor"/>
      </rPr>
      <t>% собираемости</t>
    </r>
  </si>
  <si>
    <t>Плановое поступление денежных средств в месяц с учетом собираемости &amp;ПоступленияПроцент&amp;%</t>
  </si>
  <si>
    <t>Примечание:</t>
  </si>
  <si>
    <t>* &amp;Примечание&amp;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</si>
</sst>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0"/>
      <name val="MS Sans Serif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6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0" xfId="0" applyFont="1"/>
    <xf numFmtId="9" fontId="0" fillId="0" borderId="0" xfId="0" applyNumberFormat="1"/>
    <xf numFmtId="164" fontId="0" fillId="0" borderId="2" xfId="0" applyNumberFormat="1" applyBorder="1"/>
    <xf numFmtId="14" fontId="1" fillId="0" borderId="0" xfId="0" applyNumberFormat="1" applyFont="1"/>
    <xf numFmtId="0" fontId="0" fillId="0" borderId="0" xfId="0" applyAlignment="1">
      <alignment horizontal="justify" wrapText="1"/>
    </xf>
    <xf numFmtId="164" fontId="0" fillId="0" borderId="1" xfId="0" applyNumberFormat="1" applyBorder="1"/>
    <xf numFmtId="165" fontId="0" fillId="0" borderId="1" xfId="0" applyNumberFormat="1" applyBorder="1" applyAlignment="1">
      <alignment horizontal="center"/>
    </xf>
    <xf numFmtId="164" fontId="0" fillId="0" borderId="0" xfId="0" applyNumberFormat="1"/>
    <xf numFmtId="164" fontId="2" fillId="0" borderId="0" xfId="0" applyNumberFormat="1" applyFont="1"/>
    <xf numFmtId="2" fontId="1" fillId="0" borderId="1" xfId="0" applyNumberFormat="1" applyFont="1" applyBorder="1"/>
    <xf numFmtId="1" fontId="1" fillId="0" borderId="2" xfId="0" applyNumberFormat="1" applyFont="1" applyBorder="1"/>
    <xf numFmtId="0" fontId="0" fillId="0" borderId="1" xfId="0" applyBorder="1" applyAlignment="1">
      <alignment horizontal="justify" wrapText="1"/>
    </xf>
    <xf numFmtId="0" fontId="0" fillId="0" borderId="3" xfId="0" applyBorder="1" applyAlignment="1">
      <alignment horizontal="left" wrapText="1"/>
    </xf>
  </cellXfs>
  <cellStyles count="2">
    <cellStyle name="Обычный" xfId="0" builtinId="0"/>
    <cellStyle name="Обычный 8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E26"/>
  <sheetViews>
    <sheetView tabSelected="1" topLeftCell="A3" workbookViewId="0">
      <selection activeCell="C6" sqref="C6:D6"/>
    </sheetView>
  </sheetViews>
  <sheetFormatPr defaultRowHeight="15" x14ac:dyDescent="0.25"/>
  <cols>
    <col min="1" max="1" width="3" customWidth="1"/>
    <col min="2" max="2" width="47.85546875" customWidth="1"/>
    <col min="3" max="3" width="41.7109375" customWidth="1"/>
    <col min="4" max="4" width="18.7109375" customWidth="1"/>
  </cols>
  <sheetData>
    <row r="2" spans="2:5" x14ac:dyDescent="0.25">
      <c r="B2" s="6">
        <f ca="1">TODAY()</f>
        <v>43844</v>
      </c>
    </row>
    <row r="3" spans="2:5" x14ac:dyDescent="0.25">
      <c r="B3" s="3" t="s">
        <v>7</v>
      </c>
    </row>
    <row r="4" spans="2:5" ht="15.75" customHeight="1" x14ac:dyDescent="0.25">
      <c r="B4" s="3"/>
    </row>
    <row r="5" spans="2:5" ht="37.5" customHeight="1" x14ac:dyDescent="0.25">
      <c r="B5" t="s">
        <v>0</v>
      </c>
      <c r="C5" s="14" t="s">
        <v>8</v>
      </c>
      <c r="D5" s="14"/>
    </row>
    <row r="6" spans="2:5" ht="18" customHeight="1" x14ac:dyDescent="0.25">
      <c r="B6" t="s">
        <v>27</v>
      </c>
      <c r="C6" s="15" t="s">
        <v>28</v>
      </c>
      <c r="D6" s="15"/>
    </row>
    <row r="7" spans="2:5" ht="18.75" customHeight="1" x14ac:dyDescent="0.25">
      <c r="C7" s="7"/>
      <c r="D7" s="7"/>
    </row>
    <row r="8" spans="2:5" x14ac:dyDescent="0.25">
      <c r="B8" t="s">
        <v>9</v>
      </c>
      <c r="C8" s="1"/>
      <c r="D8" s="8" t="s">
        <v>10</v>
      </c>
      <c r="E8" t="s">
        <v>5</v>
      </c>
    </row>
    <row r="9" spans="2:5" ht="13.5" customHeight="1" x14ac:dyDescent="0.25">
      <c r="D9" s="10"/>
    </row>
    <row r="10" spans="2:5" x14ac:dyDescent="0.25">
      <c r="B10" t="s">
        <v>11</v>
      </c>
      <c r="C10" t="s">
        <v>1</v>
      </c>
      <c r="D10" s="8" t="s">
        <v>12</v>
      </c>
      <c r="E10" t="s">
        <v>5</v>
      </c>
    </row>
    <row r="11" spans="2:5" x14ac:dyDescent="0.25">
      <c r="C11" t="s">
        <v>25</v>
      </c>
      <c r="D11" s="5" t="s">
        <v>13</v>
      </c>
      <c r="E11" t="s">
        <v>5</v>
      </c>
    </row>
    <row r="12" spans="2:5" ht="12.75" customHeight="1" x14ac:dyDescent="0.25">
      <c r="D12" s="11"/>
    </row>
    <row r="13" spans="2:5" x14ac:dyDescent="0.25">
      <c r="B13" t="s">
        <v>17</v>
      </c>
      <c r="C13" t="s">
        <v>1</v>
      </c>
      <c r="D13" s="8" t="e">
        <f>D8+D10</f>
        <v>#VALUE!</v>
      </c>
      <c r="E13" t="s">
        <v>5</v>
      </c>
    </row>
    <row r="14" spans="2:5" x14ac:dyDescent="0.25">
      <c r="C14" t="s">
        <v>25</v>
      </c>
      <c r="D14" s="5" t="e">
        <f>D8+D11</f>
        <v>#VALUE!</v>
      </c>
      <c r="E14" t="s">
        <v>5</v>
      </c>
    </row>
    <row r="15" spans="2:5" ht="11.25" customHeight="1" x14ac:dyDescent="0.25"/>
    <row r="16" spans="2:5" x14ac:dyDescent="0.25">
      <c r="B16" t="s">
        <v>2</v>
      </c>
      <c r="C16" s="2" t="s">
        <v>14</v>
      </c>
      <c r="D16" s="2"/>
    </row>
    <row r="17" spans="1:5" ht="12.75" customHeight="1" x14ac:dyDescent="0.25"/>
    <row r="18" spans="1:5" x14ac:dyDescent="0.25">
      <c r="B18" t="s">
        <v>3</v>
      </c>
      <c r="C18" s="4">
        <v>0.5</v>
      </c>
      <c r="D18" s="9" t="s">
        <v>6</v>
      </c>
      <c r="E18" t="s">
        <v>5</v>
      </c>
    </row>
    <row r="19" spans="1:5" ht="10.5" customHeight="1" x14ac:dyDescent="0.25"/>
    <row r="20" spans="1:5" x14ac:dyDescent="0.25">
      <c r="B20" t="s">
        <v>4</v>
      </c>
      <c r="C20" s="2" t="s">
        <v>15</v>
      </c>
      <c r="D20" s="2"/>
    </row>
    <row r="22" spans="1:5" x14ac:dyDescent="0.25">
      <c r="B22" t="s">
        <v>18</v>
      </c>
      <c r="C22" s="2" t="s">
        <v>16</v>
      </c>
      <c r="D22" s="2"/>
    </row>
    <row r="24" spans="1:5" ht="46.5" customHeight="1" x14ac:dyDescent="0.25">
      <c r="A24" t="s">
        <v>24</v>
      </c>
      <c r="B24" s="7" t="s">
        <v>19</v>
      </c>
      <c r="C24" s="1"/>
      <c r="D24" s="12" t="s">
        <v>20</v>
      </c>
      <c r="E24" t="s">
        <v>5</v>
      </c>
    </row>
    <row r="25" spans="1:5" ht="37.5" customHeight="1" x14ac:dyDescent="0.25">
      <c r="A25" t="s">
        <v>24</v>
      </c>
      <c r="B25" s="7" t="s">
        <v>26</v>
      </c>
      <c r="C25" s="1"/>
      <c r="D25" s="12" t="s">
        <v>21</v>
      </c>
      <c r="E25" t="s">
        <v>5</v>
      </c>
    </row>
    <row r="26" spans="1:5" ht="23.25" customHeight="1" x14ac:dyDescent="0.25">
      <c r="A26" t="s">
        <v>24</v>
      </c>
      <c r="B26" t="s">
        <v>22</v>
      </c>
      <c r="D26" s="13" t="e">
        <f>ROUNDUP(-D24/D25,0)</f>
        <v>#VALUE!</v>
      </c>
      <c r="E26" t="s">
        <v>23</v>
      </c>
    </row>
  </sheetData>
  <mergeCells count="2">
    <mergeCell ref="C5:D5"/>
    <mergeCell ref="C6:D6"/>
  </mergeCells>
  <pageMargins left="0.31496062992125984" right="0.31496062992125984" top="0.35433070866141736" bottom="0.35433070866141736" header="0.31496062992125984" footer="0.31496062992125984"/>
  <pageSetup paperSize="9" scale="75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план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Елена</dc:creator>
  <cp:lastModifiedBy>Konsultant</cp:lastModifiedBy>
  <cp:lastPrinted>2019-06-19T13:05:21Z</cp:lastPrinted>
  <dcterms:created xsi:type="dcterms:W3CDTF">2019-01-09T12:54:07Z</dcterms:created>
  <dcterms:modified xsi:type="dcterms:W3CDTF">2020-01-14T11:34:44Z</dcterms:modified>
</cp:coreProperties>
</file>